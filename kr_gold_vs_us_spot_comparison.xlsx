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Data" sheetId="1" state="visible" r:id="rId1"/>
    <sheet xmlns:r="http://schemas.openxmlformats.org/officeDocument/2006/relationships" name="Core Analysi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#,##0.0000"/>
    <numFmt numFmtId="166" formatCode="₩#,##0"/>
    <numFmt numFmtId="167" formatCode="0.0%"/>
  </numFmts>
  <fonts count="17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1B2A4A"/>
      <sz val="10"/>
    </font>
    <font>
      <name val="Arial"/>
      <b val="1"/>
      <color rgb="00D4AF37"/>
      <sz val="11"/>
    </font>
    <font>
      <name val="Arial"/>
      <b val="1"/>
      <color rgb="00000000"/>
      <sz val="10"/>
    </font>
    <font>
      <name val="Arial"/>
      <b val="1"/>
      <color rgb="000000FF"/>
      <sz val="11"/>
    </font>
    <font>
      <name val="Arial"/>
      <b val="1"/>
      <color rgb="008B6914"/>
      <sz val="12"/>
    </font>
    <font>
      <name val="Arial"/>
      <i val="1"/>
      <color rgb="001B2A4A"/>
      <sz val="10"/>
    </font>
    <font>
      <name val="Arial"/>
      <b val="1"/>
      <color rgb="00B71C1C"/>
      <sz val="11"/>
    </font>
    <font>
      <name val="Arial"/>
      <b val="1"/>
      <color rgb="001B2A4A"/>
      <sz val="11"/>
    </font>
    <font>
      <name val="Arial"/>
      <b val="1"/>
      <color rgb="001B2A4A"/>
      <sz val="13"/>
    </font>
    <font>
      <name val="Arial"/>
      <b val="1"/>
      <color rgb="00B71C1C"/>
      <sz val="13"/>
    </font>
    <font>
      <name val="Arial"/>
      <b val="1"/>
      <color rgb="001B5E20"/>
      <sz val="11"/>
    </font>
    <font>
      <name val="Arial"/>
      <b val="1"/>
      <color rgb="001B5E20"/>
      <sz val="13"/>
    </font>
    <font>
      <name val="Arial"/>
      <color rgb="001B5E20"/>
      <sz val="10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4AF37"/>
      </patternFill>
    </fill>
    <fill>
      <patternFill patternType="solid">
        <fgColor rgb="002C3E6B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5F5F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166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166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166" fontId="1" fillId="6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167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horizontal="center" vertical="center" wrapText="1"/>
    </xf>
    <xf numFmtId="167" fontId="12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7" fontId="1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7" fontId="7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left" vertical="center" wrapText="1"/>
    </xf>
    <xf numFmtId="167" fontId="6" fillId="7" borderId="1" applyAlignment="1" pivotButton="0" quotePrefix="0" xfId="0">
      <alignment horizontal="center" vertical="center" wrapText="1"/>
    </xf>
    <xf numFmtId="164" fontId="1" fillId="10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 wrapText="1"/>
    </xf>
    <xf numFmtId="164" fontId="14" fillId="9" borderId="1" applyAlignment="1" pivotButton="0" quotePrefix="0" xfId="0">
      <alignment horizontal="center" vertical="center" wrapText="1"/>
    </xf>
    <xf numFmtId="167" fontId="1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10" borderId="1" applyAlignment="1" pivotButton="0" quotePrefix="0" xfId="0">
      <alignment horizontal="center" vertical="center" wrapText="1"/>
    </xf>
    <xf numFmtId="164" fontId="15" fillId="10" borderId="1" applyAlignment="1" pivotButton="0" quotePrefix="0" xfId="0">
      <alignment horizontal="center" vertical="center" wrapText="1"/>
    </xf>
    <xf numFmtId="167" fontId="13" fillId="6" borderId="1" applyAlignment="1" pivotButton="0" quotePrefix="0" xfId="0">
      <alignment horizontal="center" vertical="center" wrapText="1"/>
    </xf>
    <xf numFmtId="167" fontId="14" fillId="9" borderId="1" applyAlignment="1" pivotButton="0" quotePrefix="0" xfId="0">
      <alignment horizontal="center" vertical="center" wrapText="1"/>
    </xf>
    <xf numFmtId="167" fontId="1" fillId="10" borderId="1" applyAlignment="1" pivotButton="0" quotePrefix="0" xfId="0">
      <alignment horizontal="center" vertical="center" wrapText="1"/>
    </xf>
    <xf numFmtId="164" fontId="1" fillId="8" borderId="1" applyAlignment="1" pivotButton="0" quotePrefix="0" xfId="0">
      <alignment horizontal="center" vertical="center" wrapText="1"/>
    </xf>
    <xf numFmtId="167" fontId="1" fillId="8" borderId="1" applyAlignment="1" pivotButton="0" quotePrefix="0" xfId="0">
      <alignment horizontal="center" vertical="center" wrapText="1"/>
    </xf>
    <xf numFmtId="4" fontId="7" fillId="9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28" customWidth="1" min="5" max="5"/>
  </cols>
  <sheetData>
    <row r="1" ht="40" customHeight="1">
      <c r="A1" s="1" t="n"/>
      <c r="B1" s="2" t="inlineStr">
        <is>
          <t>AURUM KOREA — LIVE MARKET DATA</t>
        </is>
      </c>
    </row>
    <row r="2" ht="25" customHeight="1">
      <c r="A2" s="3" t="n"/>
      <c r="B2" s="4" t="inlineStr">
        <is>
          <t>Data Pulled: 2026-04-11 23:26 UTC</t>
        </is>
      </c>
    </row>
    <row r="4">
      <c r="A4" s="5" t="n"/>
      <c r="B4" s="6" t="inlineStr">
        <is>
          <t>INTERNATIONAL GOLD SPOT (XAU/USD)</t>
        </is>
      </c>
    </row>
    <row r="5">
      <c r="B5" s="7" t="inlineStr">
        <is>
          <t>Source</t>
        </is>
      </c>
      <c r="C5" s="8" t="inlineStr">
        <is>
          <t>Value</t>
        </is>
      </c>
      <c r="D5" s="8" t="inlineStr">
        <is>
          <t>Unit</t>
        </is>
      </c>
      <c r="E5" s="8" t="inlineStr">
        <is>
          <t>Timestamp</t>
        </is>
      </c>
    </row>
    <row r="6">
      <c r="B6" s="9" t="inlineStr">
        <is>
          <t>JM Bullion — Spot Price</t>
        </is>
      </c>
      <c r="C6" s="10" t="n">
        <v>4762.62</v>
      </c>
      <c r="D6" s="11" t="inlineStr">
        <is>
          <t>USD / troy oz</t>
        </is>
      </c>
      <c r="E6" s="11" t="inlineStr">
        <is>
          <t>Apr 11, 2026 8:37 AM EDT</t>
        </is>
      </c>
    </row>
    <row r="7">
      <c r="B7" s="9" t="inlineStr">
        <is>
          <t>Spot Price per Gram</t>
        </is>
      </c>
      <c r="C7" s="12">
        <f>C6/31.1035</f>
        <v/>
      </c>
      <c r="D7" s="11" t="inlineStr">
        <is>
          <t>USD / gram</t>
        </is>
      </c>
      <c r="E7" s="13" t="inlineStr">
        <is>
          <t>Calculated (÷ 31.1035)</t>
        </is>
      </c>
    </row>
    <row r="8">
      <c r="B8" s="9" t="inlineStr">
        <is>
          <t>Spot Price per Don (3.75g)</t>
        </is>
      </c>
      <c r="C8" s="12">
        <f>C7*3.75</f>
        <v/>
      </c>
      <c r="D8" s="11" t="inlineStr">
        <is>
          <t>USD / don</t>
        </is>
      </c>
      <c r="E8" s="13" t="inlineStr">
        <is>
          <t>Calculated (× 3.75)</t>
        </is>
      </c>
    </row>
    <row r="10">
      <c r="A10" s="5" t="n"/>
      <c r="B10" s="6" t="inlineStr">
        <is>
          <t>FOREIGN EXCHANGE RATES</t>
        </is>
      </c>
    </row>
    <row r="11">
      <c r="B11" s="7" t="inlineStr">
        <is>
          <t>Source</t>
        </is>
      </c>
      <c r="C11" s="8" t="inlineStr">
        <is>
          <t>Rate</t>
        </is>
      </c>
      <c r="D11" s="8" t="inlineStr">
        <is>
          <t>Pair</t>
        </is>
      </c>
      <c r="E11" s="8" t="inlineStr">
        <is>
          <t>Timestamp</t>
        </is>
      </c>
    </row>
    <row r="12">
      <c r="B12" s="9" t="inlineStr">
        <is>
          <t>ExchangeRate-API (Live)</t>
        </is>
      </c>
      <c r="C12" s="14" t="n">
        <v>1482.8</v>
      </c>
      <c r="D12" s="11" t="inlineStr">
        <is>
          <t>KRW per USD</t>
        </is>
      </c>
      <c r="E12" s="11" t="inlineStr">
        <is>
          <t>Apr 11, 2026</t>
        </is>
      </c>
    </row>
    <row r="13">
      <c r="B13" s="9" t="inlineStr">
        <is>
          <t>ExchangeRate-API (Live)</t>
        </is>
      </c>
      <c r="C13" s="15" t="n">
        <v>1.2737</v>
      </c>
      <c r="D13" s="11" t="inlineStr">
        <is>
          <t>SGD per USD</t>
        </is>
      </c>
      <c r="E13" s="11" t="inlineStr">
        <is>
          <t>Apr 11, 2026</t>
        </is>
      </c>
    </row>
    <row r="15">
      <c r="A15" s="5" t="n"/>
      <c r="B15" s="6" t="inlineStr">
        <is>
          <t>KOREAN RETAIL GOLD PRICES (1돈 = 3.75g, 24K)</t>
        </is>
      </c>
    </row>
    <row r="16">
      <c r="B16" s="7" t="inlineStr">
        <is>
          <t>Source</t>
        </is>
      </c>
      <c r="C16" s="8" t="inlineStr">
        <is>
          <t>살 때 (Buy)</t>
        </is>
      </c>
      <c r="D16" s="8" t="inlineStr">
        <is>
          <t>팔 때 (Sell)</t>
        </is>
      </c>
      <c r="E16" s="8" t="inlineStr">
        <is>
          <t>Notes</t>
        </is>
      </c>
    </row>
    <row r="17">
      <c r="B17" s="9" t="inlineStr">
        <is>
          <t>한국금거래소 (Korea Gold Exchange)</t>
        </is>
      </c>
      <c r="C17" s="16" t="n">
        <v>994000</v>
      </c>
      <c r="D17" s="16" t="n">
        <v>833000</v>
      </c>
      <c r="E17" s="11" t="inlineStr">
        <is>
          <t>CBC News, Apr 11 2026</t>
        </is>
      </c>
    </row>
    <row r="18">
      <c r="B18" s="9" t="inlineStr">
        <is>
          <t>금시세닷컴 (GoldPrice.com KR)</t>
        </is>
      </c>
      <c r="C18" s="16" t="n">
        <v>988000</v>
      </c>
      <c r="D18" s="16" t="n">
        <v>840000</v>
      </c>
      <c r="E18" s="11" t="inlineStr">
        <is>
          <t>CBC News, Apr 11 2026</t>
        </is>
      </c>
    </row>
    <row r="19">
      <c r="B19" s="17" t="inlineStr">
        <is>
          <t>DailyLifeData Benchmark (no VAT/premium)</t>
        </is>
      </c>
      <c r="C19" s="18" t="n">
        <v>849035</v>
      </c>
      <c r="D19" s="13" t="inlineStr">
        <is>
          <t>—</t>
        </is>
      </c>
      <c r="E19" s="13" t="inlineStr">
        <is>
          <t>KRX-aligned reference, Apr 11</t>
        </is>
      </c>
    </row>
    <row r="20">
      <c r="B20" s="19" t="inlineStr">
        <is>
          <t>Average Korean Retail (살 때)</t>
        </is>
      </c>
      <c r="C20" s="20">
        <f>AVERAGE(C17,C18)</f>
        <v/>
      </c>
      <c r="D20" s="20">
        <f>AVERAGE(D17,D18)</f>
        <v/>
      </c>
      <c r="E20" s="21" t="inlineStr">
        <is>
          <t>Used in core analysis</t>
        </is>
      </c>
    </row>
  </sheetData>
  <mergeCells count="5">
    <mergeCell ref="B1:E1"/>
    <mergeCell ref="B4:E4"/>
    <mergeCell ref="B15:E15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n"/>
      <c r="B1" s="2" t="inlineStr">
        <is>
          <t>KR RETAIL vs US SPOT+5% — MARGIN COMPARISON</t>
        </is>
      </c>
    </row>
    <row r="2">
      <c r="A2" s="3" t="n"/>
      <c r="B2" s="22" t="inlineStr">
        <is>
          <t>All prices converted to USD per gram for apples-to-apples comparison</t>
        </is>
      </c>
    </row>
    <row r="4">
      <c r="A4" s="5" t="n"/>
      <c r="B4" s="6" t="inlineStr">
        <is>
          <t>SIDE-BY-SIDE: $/GRAM COMPARISON</t>
        </is>
      </c>
    </row>
    <row r="5">
      <c r="B5" s="7" t="inlineStr"/>
      <c r="C5" s="8" t="inlineStr">
        <is>
          <t>🇰🇷 Korean Retail</t>
        </is>
      </c>
      <c r="D5" s="8" t="inlineStr">
        <is>
          <t>🇺🇸 US Spot + 5%</t>
        </is>
      </c>
      <c r="E5" s="8" t="inlineStr">
        <is>
          <t>Δ Difference</t>
        </is>
      </c>
      <c r="F5" s="8" t="inlineStr">
        <is>
          <t>Δ %</t>
        </is>
      </c>
    </row>
    <row r="6">
      <c r="B6" s="9" t="inlineStr">
        <is>
          <t>Price per Don (₩)</t>
        </is>
      </c>
      <c r="C6" s="23">
        <f>'Live Data'!C20</f>
        <v/>
      </c>
      <c r="D6" s="23">
        <f>'Live Data'!C8*1.05*'Live Data'!C12</f>
        <v/>
      </c>
      <c r="E6" s="24">
        <f>C6-D6</f>
        <v/>
      </c>
      <c r="F6" s="25">
        <f>E6/D6</f>
        <v/>
      </c>
    </row>
    <row r="7">
      <c r="B7" s="26" t="inlineStr">
        <is>
          <t>Price per Don (USD)</t>
        </is>
      </c>
      <c r="C7" s="27">
        <f>C6/'Live Data'!C12</f>
        <v/>
      </c>
      <c r="D7" s="27">
        <f>'Live Data'!C8*1.05</f>
        <v/>
      </c>
      <c r="E7" s="28">
        <f>C7-D7</f>
        <v/>
      </c>
      <c r="F7" s="29">
        <f>E7/D7</f>
        <v/>
      </c>
    </row>
    <row r="8" ht="28" customHeight="1">
      <c r="B8" s="30" t="inlineStr">
        <is>
          <t>Price per Gram (USD)</t>
        </is>
      </c>
      <c r="C8" s="31">
        <f>C7/3.75</f>
        <v/>
      </c>
      <c r="D8" s="31">
        <f>'Live Data'!C7*1.05</f>
        <v/>
      </c>
      <c r="E8" s="32">
        <f>C8-D8</f>
        <v/>
      </c>
      <c r="F8" s="33">
        <f>E8/D8</f>
        <v/>
      </c>
    </row>
    <row r="9">
      <c r="B9" s="9" t="inlineStr">
        <is>
          <t>Price per Troy Oz (USD)</t>
        </is>
      </c>
      <c r="C9" s="12">
        <f>C8*31.1035</f>
        <v/>
      </c>
      <c r="D9" s="12">
        <f>'Live Data'!C6*1.05</f>
        <v/>
      </c>
      <c r="E9" s="34">
        <f>C9-D9</f>
        <v/>
      </c>
      <c r="F9" s="25">
        <f>E9/D9</f>
        <v/>
      </c>
    </row>
    <row r="11">
      <c r="A11" s="5" t="n"/>
      <c r="B11" s="6" t="inlineStr">
        <is>
          <t>KOREAN RETAIL PREMIUM BREAKDOWN</t>
        </is>
      </c>
    </row>
    <row r="12">
      <c r="B12" s="7" t="inlineStr">
        <is>
          <t>Component</t>
        </is>
      </c>
      <c r="C12" s="8" t="inlineStr">
        <is>
          <t>₩ per Don</t>
        </is>
      </c>
      <c r="D12" s="8" t="inlineStr">
        <is>
          <t>$ per Don</t>
        </is>
      </c>
      <c r="E12" s="8" t="inlineStr">
        <is>
          <t>$ per Gram</t>
        </is>
      </c>
      <c r="F12" s="8" t="inlineStr">
        <is>
          <t>% of Final</t>
        </is>
      </c>
    </row>
    <row r="13">
      <c r="B13" s="9" t="inlineStr">
        <is>
          <t>① Raw International Spot (XAU→KRW)</t>
        </is>
      </c>
      <c r="C13" s="23">
        <f>'Live Data'!C19</f>
        <v/>
      </c>
      <c r="D13" s="12">
        <f>C13/'Live Data'!C12</f>
        <v/>
      </c>
      <c r="E13" s="12">
        <f>D13/3.75</f>
        <v/>
      </c>
      <c r="F13" s="35">
        <f>C13/'Live Data'!C20</f>
        <v/>
      </c>
    </row>
    <row r="14">
      <c r="B14" s="9" t="inlineStr">
        <is>
          <t>② Dealer Spread + Making Charges (공임)</t>
        </is>
      </c>
      <c r="C14" s="23">
        <f>'Live Data'!C20/1.1-'Live Data'!C19</f>
        <v/>
      </c>
      <c r="D14" s="12">
        <f>C14/'Live Data'!C12</f>
        <v/>
      </c>
      <c r="E14" s="12">
        <f>D14/3.75</f>
        <v/>
      </c>
      <c r="F14" s="35">
        <f>C14/'Live Data'!C20</f>
        <v/>
      </c>
    </row>
    <row r="15">
      <c r="B15" s="9" t="inlineStr">
        <is>
          <t>③ VAT (10% on retail, non-KRX)</t>
        </is>
      </c>
      <c r="C15" s="23">
        <f>'Live Data'!C20-'Live Data'!C20/1.1</f>
        <v/>
      </c>
      <c r="D15" s="12">
        <f>C15/'Live Data'!C12</f>
        <v/>
      </c>
      <c r="E15" s="12">
        <f>D15/3.75</f>
        <v/>
      </c>
      <c r="F15" s="35">
        <f>C15/'Live Data'!C20</f>
        <v/>
      </c>
    </row>
    <row r="16">
      <c r="B16" s="36" t="inlineStr">
        <is>
          <t>TOTAL = Korean Retail Price (살 때)</t>
        </is>
      </c>
      <c r="C16" s="20">
        <f>SUM(C13:C15)</f>
        <v/>
      </c>
      <c r="D16" s="37">
        <f>SUM(D13:D15)</f>
        <v/>
      </c>
      <c r="E16" s="37">
        <f>SUM(E13:E15)</f>
        <v/>
      </c>
      <c r="F16" s="38">
        <f>SUM(F13:F15)</f>
        <v/>
      </c>
    </row>
    <row r="18">
      <c r="A18" s="5" t="n"/>
      <c r="B18" s="6" t="inlineStr">
        <is>
          <t>AURUM KOREA PRICE ADVANTAGE (vs Korean Retail)</t>
        </is>
      </c>
    </row>
    <row r="19">
      <c r="B19" s="7" t="inlineStr">
        <is>
          <t>Aurum Premium Tier</t>
        </is>
      </c>
      <c r="C19" s="8" t="inlineStr">
        <is>
          <t>Premium %</t>
        </is>
      </c>
      <c r="D19" s="8" t="inlineStr">
        <is>
          <t>Aurum $/gram</t>
        </is>
      </c>
      <c r="E19" s="8" t="inlineStr">
        <is>
          <t>KR Retail $/gram</t>
        </is>
      </c>
      <c r="F19" s="8" t="inlineStr">
        <is>
          <t>Customer Saves $/gram</t>
        </is>
      </c>
    </row>
    <row r="20">
      <c r="B20" s="39" t="inlineStr">
        <is>
          <t>Wire Transfer (2.5%)</t>
        </is>
      </c>
      <c r="C20" s="40" t="n">
        <v>0.025</v>
      </c>
      <c r="D20" s="41">
        <f>'Live Data'!C7*(1+C20)</f>
        <v/>
      </c>
      <c r="E20" s="41">
        <f>C8</f>
        <v/>
      </c>
      <c r="F20" s="42">
        <f>E20-D20</f>
        <v/>
      </c>
    </row>
    <row r="21">
      <c r="B21" s="9" t="inlineStr">
        <is>
          <t>Credit Card (5.5%)</t>
        </is>
      </c>
      <c r="C21" s="40" t="n">
        <v>0.055</v>
      </c>
      <c r="D21" s="12">
        <f>'Live Data'!C7*(1+C21)</f>
        <v/>
      </c>
      <c r="E21" s="12">
        <f>C8</f>
        <v/>
      </c>
      <c r="F21" s="43">
        <f>E21-D21</f>
        <v/>
      </c>
    </row>
    <row r="22">
      <c r="B22" s="39" t="inlineStr">
        <is>
          <t>Crypto (2.0%)</t>
        </is>
      </c>
      <c r="C22" s="40" t="n">
        <v>0.02</v>
      </c>
      <c r="D22" s="41">
        <f>'Live Data'!C7*(1+C22)</f>
        <v/>
      </c>
      <c r="E22" s="41">
        <f>C8</f>
        <v/>
      </c>
      <c r="F22" s="42">
        <f>E22-D22</f>
        <v/>
      </c>
    </row>
    <row r="23" ht="28" customHeight="1">
      <c r="B23" s="30" t="inlineStr">
        <is>
          <t>★ Requested Test: Spot + 5.0%</t>
        </is>
      </c>
      <c r="C23" s="40" t="n">
        <v>0.05</v>
      </c>
      <c r="D23" s="37">
        <f>'Live Data'!C7*(1+C23)</f>
        <v/>
      </c>
      <c r="E23" s="37">
        <f>C8</f>
        <v/>
      </c>
      <c r="F23" s="44">
        <f>E23-D23</f>
        <v/>
      </c>
    </row>
    <row r="25">
      <c r="A25" s="5" t="n"/>
      <c r="B25" s="6" t="inlineStr">
        <is>
          <t>CUSTOMER SAVINGS % (vs Korean Retail)</t>
        </is>
      </c>
    </row>
    <row r="26">
      <c r="B26" s="39" t="inlineStr">
        <is>
          <t>Wire (2.5%) — Customer saves</t>
        </is>
      </c>
      <c r="C26" s="45">
        <f>F20/E20</f>
        <v/>
      </c>
      <c r="D26" s="46" t="n"/>
      <c r="E26" s="47" t="inlineStr">
        <is>
          <t>per gram</t>
        </is>
      </c>
      <c r="F26" s="48">
        <f>F20*31.1035</f>
        <v/>
      </c>
    </row>
    <row r="27">
      <c r="B27" s="9" t="inlineStr">
        <is>
          <t>Card (5.5%) — Customer saves</t>
        </is>
      </c>
      <c r="C27" s="49">
        <f>F21/E21</f>
        <v/>
      </c>
      <c r="D27" s="46" t="n"/>
      <c r="E27" s="11" t="inlineStr">
        <is>
          <t>per gram</t>
        </is>
      </c>
      <c r="F27" s="43">
        <f>F21*31.1035</f>
        <v/>
      </c>
    </row>
    <row r="28">
      <c r="B28" s="39" t="inlineStr">
        <is>
          <t>Crypto (2.0%) — Customer saves</t>
        </is>
      </c>
      <c r="C28" s="45">
        <f>F22/E22</f>
        <v/>
      </c>
      <c r="D28" s="46" t="n"/>
      <c r="E28" s="47" t="inlineStr">
        <is>
          <t>per gram</t>
        </is>
      </c>
      <c r="F28" s="42">
        <f>F22*31.1035</f>
        <v/>
      </c>
    </row>
    <row r="29" ht="28" customHeight="1">
      <c r="B29" s="30" t="inlineStr">
        <is>
          <t>★ Spot + 5% — Customer saves</t>
        </is>
      </c>
      <c r="C29" s="50">
        <f>F23/E23</f>
        <v/>
      </c>
      <c r="D29" s="46" t="n"/>
      <c r="E29" s="21" t="inlineStr">
        <is>
          <t>per gram</t>
        </is>
      </c>
      <c r="F29" s="44">
        <f>F23*31.1035</f>
        <v/>
      </c>
    </row>
  </sheetData>
  <mergeCells count="10">
    <mergeCell ref="B4:F4"/>
    <mergeCell ref="C29:D29"/>
    <mergeCell ref="B2:F2"/>
    <mergeCell ref="B11:F11"/>
    <mergeCell ref="B25:F25"/>
    <mergeCell ref="C27:D27"/>
    <mergeCell ref="C28:D28"/>
    <mergeCell ref="B1:F1"/>
    <mergeCell ref="C26:D26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F0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n"/>
      <c r="B1" s="2" t="inlineStr">
        <is>
          <t>SENSITIVITY: PREMIUM &amp; FX SCENARIOS</t>
        </is>
      </c>
    </row>
    <row r="3">
      <c r="A3" s="5" t="n"/>
      <c r="B3" s="6" t="inlineStr">
        <is>
          <t>SCENARIO A: AURUM PREMIUM vs CUSTOMER SAVINGS ($/gram)</t>
        </is>
      </c>
    </row>
    <row r="4">
      <c r="B4" s="8" t="inlineStr">
        <is>
          <t>Aurum Premium %</t>
        </is>
      </c>
      <c r="C4" s="8" t="inlineStr">
        <is>
          <t>Aurum $/gram</t>
        </is>
      </c>
      <c r="D4" s="8" t="inlineStr">
        <is>
          <t>KR Retail $/gram</t>
        </is>
      </c>
      <c r="E4" s="8" t="inlineStr">
        <is>
          <t>Saving $/gram</t>
        </is>
      </c>
      <c r="F4" s="8" t="inlineStr">
        <is>
          <t>Saving %</t>
        </is>
      </c>
      <c r="G4" s="8" t="inlineStr">
        <is>
          <t>Saving $/oz</t>
        </is>
      </c>
    </row>
    <row r="5">
      <c r="B5" s="40" t="n">
        <v>0.015</v>
      </c>
      <c r="C5" s="41">
        <f>'Live Data'!C7*(1+B5)</f>
        <v/>
      </c>
      <c r="D5" s="41">
        <f>'Core Analysis'!C8</f>
        <v/>
      </c>
      <c r="E5" s="41">
        <f>D5-C5</f>
        <v/>
      </c>
      <c r="F5" s="51">
        <f>E5/D5</f>
        <v/>
      </c>
      <c r="G5" s="41">
        <f>E5*31.1035</f>
        <v/>
      </c>
    </row>
    <row r="6">
      <c r="B6" s="40" t="n">
        <v>0.02</v>
      </c>
      <c r="C6" s="12">
        <f>'Live Data'!C7*(1+B6)</f>
        <v/>
      </c>
      <c r="D6" s="12">
        <f>'Core Analysis'!C8</f>
        <v/>
      </c>
      <c r="E6" s="12">
        <f>D6-C6</f>
        <v/>
      </c>
      <c r="F6" s="35">
        <f>E6/D6</f>
        <v/>
      </c>
      <c r="G6" s="12">
        <f>E6*31.1035</f>
        <v/>
      </c>
    </row>
    <row r="7">
      <c r="B7" s="40" t="n">
        <v>0.025</v>
      </c>
      <c r="C7" s="41">
        <f>'Live Data'!C7*(1+B7)</f>
        <v/>
      </c>
      <c r="D7" s="41">
        <f>'Core Analysis'!C8</f>
        <v/>
      </c>
      <c r="E7" s="41">
        <f>D7-C7</f>
        <v/>
      </c>
      <c r="F7" s="51">
        <f>E7/D7</f>
        <v/>
      </c>
      <c r="G7" s="41">
        <f>E7*31.1035</f>
        <v/>
      </c>
    </row>
    <row r="8">
      <c r="B8" s="40" t="n">
        <v>0.03</v>
      </c>
      <c r="C8" s="12">
        <f>'Live Data'!C7*(1+B8)</f>
        <v/>
      </c>
      <c r="D8" s="12">
        <f>'Core Analysis'!C8</f>
        <v/>
      </c>
      <c r="E8" s="12">
        <f>D8-C8</f>
        <v/>
      </c>
      <c r="F8" s="35">
        <f>E8/D8</f>
        <v/>
      </c>
      <c r="G8" s="12">
        <f>E8*31.1035</f>
        <v/>
      </c>
    </row>
    <row r="9">
      <c r="B9" s="40" t="n">
        <v>0.035</v>
      </c>
      <c r="C9" s="41">
        <f>'Live Data'!C7*(1+B9)</f>
        <v/>
      </c>
      <c r="D9" s="41">
        <f>'Core Analysis'!C8</f>
        <v/>
      </c>
      <c r="E9" s="41">
        <f>D9-C9</f>
        <v/>
      </c>
      <c r="F9" s="51">
        <f>E9/D9</f>
        <v/>
      </c>
      <c r="G9" s="41">
        <f>E9*31.1035</f>
        <v/>
      </c>
    </row>
    <row r="10">
      <c r="B10" s="40" t="n">
        <v>0.04</v>
      </c>
      <c r="C10" s="12">
        <f>'Live Data'!C7*(1+B10)</f>
        <v/>
      </c>
      <c r="D10" s="12">
        <f>'Core Analysis'!C8</f>
        <v/>
      </c>
      <c r="E10" s="12">
        <f>D10-C10</f>
        <v/>
      </c>
      <c r="F10" s="35">
        <f>E10/D10</f>
        <v/>
      </c>
      <c r="G10" s="12">
        <f>E10*31.1035</f>
        <v/>
      </c>
    </row>
    <row r="11">
      <c r="B11" s="40" t="n">
        <v>0.045</v>
      </c>
      <c r="C11" s="41">
        <f>'Live Data'!C7*(1+B11)</f>
        <v/>
      </c>
      <c r="D11" s="41">
        <f>'Core Analysis'!C8</f>
        <v/>
      </c>
      <c r="E11" s="41">
        <f>D11-C11</f>
        <v/>
      </c>
      <c r="F11" s="51">
        <f>E11/D11</f>
        <v/>
      </c>
      <c r="G11" s="41">
        <f>E11*31.1035</f>
        <v/>
      </c>
    </row>
    <row r="12">
      <c r="B12" s="38" t="n">
        <v>0.05</v>
      </c>
      <c r="C12" s="37">
        <f>'Live Data'!C7*(1+B12)</f>
        <v/>
      </c>
      <c r="D12" s="37">
        <f>'Core Analysis'!C8</f>
        <v/>
      </c>
      <c r="E12" s="37">
        <f>D12-C12</f>
        <v/>
      </c>
      <c r="F12" s="38">
        <f>E12/D12</f>
        <v/>
      </c>
      <c r="G12" s="37">
        <f>E12*31.1035</f>
        <v/>
      </c>
    </row>
    <row r="13">
      <c r="B13" s="40" t="n">
        <v>0.055</v>
      </c>
      <c r="C13" s="41">
        <f>'Live Data'!C7*(1+B13)</f>
        <v/>
      </c>
      <c r="D13" s="41">
        <f>'Core Analysis'!C8</f>
        <v/>
      </c>
      <c r="E13" s="41">
        <f>D13-C13</f>
        <v/>
      </c>
      <c r="F13" s="51">
        <f>E13/D13</f>
        <v/>
      </c>
      <c r="G13" s="41">
        <f>E13*31.1035</f>
        <v/>
      </c>
    </row>
    <row r="14">
      <c r="B14" s="40" t="n">
        <v>0.06</v>
      </c>
      <c r="C14" s="12">
        <f>'Live Data'!C7*(1+B14)</f>
        <v/>
      </c>
      <c r="D14" s="12">
        <f>'Core Analysis'!C8</f>
        <v/>
      </c>
      <c r="E14" s="12">
        <f>D14-C14</f>
        <v/>
      </c>
      <c r="F14" s="35">
        <f>E14/D14</f>
        <v/>
      </c>
      <c r="G14" s="12">
        <f>E14*31.1035</f>
        <v/>
      </c>
    </row>
    <row r="15">
      <c r="B15" s="40" t="n">
        <v>0.07000000000000001</v>
      </c>
      <c r="C15" s="41">
        <f>'Live Data'!C7*(1+B15)</f>
        <v/>
      </c>
      <c r="D15" s="41">
        <f>'Core Analysis'!C8</f>
        <v/>
      </c>
      <c r="E15" s="41">
        <f>D15-C15</f>
        <v/>
      </c>
      <c r="F15" s="51">
        <f>E15/D15</f>
        <v/>
      </c>
      <c r="G15" s="41">
        <f>E15*31.1035</f>
        <v/>
      </c>
    </row>
    <row r="16">
      <c r="B16" s="40" t="n">
        <v>0.08</v>
      </c>
      <c r="C16" s="12">
        <f>'Live Data'!C7*(1+B16)</f>
        <v/>
      </c>
      <c r="D16" s="12">
        <f>'Core Analysis'!C8</f>
        <v/>
      </c>
      <c r="E16" s="12">
        <f>D16-C16</f>
        <v/>
      </c>
      <c r="F16" s="35">
        <f>E16/D16</f>
        <v/>
      </c>
      <c r="G16" s="12">
        <f>E16*31.1035</f>
        <v/>
      </c>
    </row>
    <row r="17">
      <c r="B17" s="40" t="n">
        <v>0.1</v>
      </c>
      <c r="C17" s="41">
        <f>'Live Data'!C7*(1+B17)</f>
        <v/>
      </c>
      <c r="D17" s="41">
        <f>'Core Analysis'!C8</f>
        <v/>
      </c>
      <c r="E17" s="41">
        <f>D17-C17</f>
        <v/>
      </c>
      <c r="F17" s="51">
        <f>E17/D17</f>
        <v/>
      </c>
      <c r="G17" s="41">
        <f>E17*31.1035</f>
        <v/>
      </c>
    </row>
    <row r="20">
      <c r="A20" s="5" t="n"/>
      <c r="B20" s="6" t="inlineStr">
        <is>
          <t>SCENARIO B: FX SENSITIVITY (KRW/USD) — Impact on KR Retail $/gram at 5% Aurum Premium</t>
        </is>
      </c>
    </row>
    <row r="21">
      <c r="B21" s="8" t="inlineStr">
        <is>
          <t>KRW/USD Rate</t>
        </is>
      </c>
      <c r="C21" s="8" t="inlineStr">
        <is>
          <t>KR Retail $/don</t>
        </is>
      </c>
      <c r="D21" s="8" t="inlineStr">
        <is>
          <t>KR Retail $/gram</t>
        </is>
      </c>
      <c r="E21" s="8" t="inlineStr">
        <is>
          <t>Aurum $/gram (5%)</t>
        </is>
      </c>
      <c r="F21" s="8" t="inlineStr">
        <is>
          <t>Δ $/gram</t>
        </is>
      </c>
      <c r="G21" s="8" t="inlineStr">
        <is>
          <t>Advantage %</t>
        </is>
      </c>
    </row>
    <row r="22">
      <c r="B22" s="14" t="n">
        <v>1350</v>
      </c>
      <c r="C22" s="52">
        <f>'Live Data'!C20/B22</f>
        <v/>
      </c>
      <c r="D22" s="52">
        <f>C22/3.75</f>
        <v/>
      </c>
      <c r="E22" s="52">
        <f>'Live Data'!C7*1.05</f>
        <v/>
      </c>
      <c r="F22" s="52">
        <f>D22-E22</f>
        <v/>
      </c>
      <c r="G22" s="53">
        <f>F22/D22</f>
        <v/>
      </c>
    </row>
    <row r="23">
      <c r="B23" s="14" t="n">
        <v>1400</v>
      </c>
      <c r="C23" s="12">
        <f>'Live Data'!C20/B23</f>
        <v/>
      </c>
      <c r="D23" s="12">
        <f>C23/3.75</f>
        <v/>
      </c>
      <c r="E23" s="12">
        <f>'Live Data'!C7*1.05</f>
        <v/>
      </c>
      <c r="F23" s="12">
        <f>D23-E23</f>
        <v/>
      </c>
      <c r="G23" s="35">
        <f>F23/D23</f>
        <v/>
      </c>
    </row>
    <row r="24">
      <c r="B24" s="14" t="n">
        <v>1450</v>
      </c>
      <c r="C24" s="52">
        <f>'Live Data'!C20/B24</f>
        <v/>
      </c>
      <c r="D24" s="52">
        <f>C24/3.75</f>
        <v/>
      </c>
      <c r="E24" s="52">
        <f>'Live Data'!C7*1.05</f>
        <v/>
      </c>
      <c r="F24" s="52">
        <f>D24-E24</f>
        <v/>
      </c>
      <c r="G24" s="53">
        <f>F24/D24</f>
        <v/>
      </c>
    </row>
    <row r="25">
      <c r="B25" s="54" t="n">
        <v>1482.8</v>
      </c>
      <c r="C25" s="37">
        <f>'Live Data'!C20/B25</f>
        <v/>
      </c>
      <c r="D25" s="37">
        <f>C25/3.75</f>
        <v/>
      </c>
      <c r="E25" s="37">
        <f>'Live Data'!C7*1.05</f>
        <v/>
      </c>
      <c r="F25" s="37">
        <f>D25-E25</f>
        <v/>
      </c>
      <c r="G25" s="38">
        <f>F25/D25</f>
        <v/>
      </c>
    </row>
    <row r="26">
      <c r="B26" s="14" t="n">
        <v>1500</v>
      </c>
      <c r="C26" s="52">
        <f>'Live Data'!C20/B26</f>
        <v/>
      </c>
      <c r="D26" s="52">
        <f>C26/3.75</f>
        <v/>
      </c>
      <c r="E26" s="52">
        <f>'Live Data'!C7*1.05</f>
        <v/>
      </c>
      <c r="F26" s="52">
        <f>D26-E26</f>
        <v/>
      </c>
      <c r="G26" s="53">
        <f>F26/D26</f>
        <v/>
      </c>
    </row>
    <row r="27">
      <c r="B27" s="14" t="n">
        <v>1550</v>
      </c>
      <c r="C27" s="12">
        <f>'Live Data'!C20/B27</f>
        <v/>
      </c>
      <c r="D27" s="12">
        <f>C27/3.75</f>
        <v/>
      </c>
      <c r="E27" s="12">
        <f>'Live Data'!C7*1.05</f>
        <v/>
      </c>
      <c r="F27" s="12">
        <f>D27-E27</f>
        <v/>
      </c>
      <c r="G27" s="35">
        <f>F27/D27</f>
        <v/>
      </c>
    </row>
    <row r="28">
      <c r="B28" s="14" t="n">
        <v>1600</v>
      </c>
      <c r="C28" s="52">
        <f>'Live Data'!C20/B28</f>
        <v/>
      </c>
      <c r="D28" s="52">
        <f>C28/3.75</f>
        <v/>
      </c>
      <c r="E28" s="52">
        <f>'Live Data'!C7*1.05</f>
        <v/>
      </c>
      <c r="F28" s="52">
        <f>D28-E28</f>
        <v/>
      </c>
      <c r="G28" s="53">
        <f>F28/D28</f>
        <v/>
      </c>
    </row>
    <row r="29">
      <c r="B29" s="14" t="n">
        <v>1650</v>
      </c>
      <c r="C29" s="12">
        <f>'Live Data'!C20/B29</f>
        <v/>
      </c>
      <c r="D29" s="12">
        <f>C29/3.75</f>
        <v/>
      </c>
      <c r="E29" s="12">
        <f>'Live Data'!C7*1.05</f>
        <v/>
      </c>
      <c r="F29" s="12">
        <f>D29-E29</f>
        <v/>
      </c>
      <c r="G29" s="35">
        <f>F29/D29</f>
        <v/>
      </c>
    </row>
  </sheetData>
  <mergeCells count="3">
    <mergeCell ref="B3:G3"/>
    <mergeCell ref="B20:G20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6BC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50" customWidth="1" min="3" max="3"/>
  </cols>
  <sheetData>
    <row r="1" ht="40" customHeight="1">
      <c r="A1" s="1" t="n"/>
      <c r="B1" s="2" t="inlineStr">
        <is>
          <t>ASSUMPTIONS &amp; DATA SOURCES</t>
        </is>
      </c>
    </row>
    <row r="3">
      <c r="B3" s="55" t="inlineStr">
        <is>
          <t>GOLD SPOT PRICE</t>
        </is>
      </c>
      <c r="C3" s="55" t="inlineStr"/>
    </row>
    <row r="4">
      <c r="B4" s="56" t="inlineStr">
        <is>
          <t>Source</t>
        </is>
      </c>
      <c r="C4" s="9" t="inlineStr">
        <is>
          <t>JM Bullion live spot — jmbullion.com/charts/gold-price/</t>
        </is>
      </c>
    </row>
    <row r="5">
      <c r="B5" s="56" t="inlineStr">
        <is>
          <t>Price</t>
        </is>
      </c>
      <c r="C5" s="9" t="inlineStr">
        <is>
          <t>$4,762.62 / troy oz as of Apr 11, 2026 8:37 AM EDT</t>
        </is>
      </c>
    </row>
    <row r="6">
      <c r="B6" s="56" t="inlineStr">
        <is>
          <t>Conversion</t>
        </is>
      </c>
      <c r="C6" s="9" t="inlineStr">
        <is>
          <t>1 troy ounce = 31.1035 grams</t>
        </is>
      </c>
    </row>
    <row r="8">
      <c r="B8" s="55" t="inlineStr">
        <is>
          <t>FOREIGN EXCHANGE</t>
        </is>
      </c>
      <c r="C8" s="55" t="inlineStr"/>
    </row>
    <row r="9">
      <c r="B9" s="56" t="inlineStr">
        <is>
          <t>Source</t>
        </is>
      </c>
      <c r="C9" s="9" t="inlineStr">
        <is>
          <t>ExchangeRate-API — open.er-api.com/v6/latest/USD</t>
        </is>
      </c>
    </row>
    <row r="10">
      <c r="B10" s="56" t="inlineStr">
        <is>
          <t>USD/KRW</t>
        </is>
      </c>
      <c r="C10" s="9" t="inlineStr">
        <is>
          <t>1,482.80 (Apr 11, 2026)</t>
        </is>
      </c>
    </row>
    <row r="11">
      <c r="B11" s="56" t="inlineStr">
        <is>
          <t>USD/SGD</t>
        </is>
      </c>
      <c r="C11" s="9" t="inlineStr">
        <is>
          <t>1.2737 (Apr 11, 2026)</t>
        </is>
      </c>
    </row>
    <row r="13">
      <c r="B13" s="55" t="inlineStr">
        <is>
          <t>KOREAN RETAIL GOLD</t>
        </is>
      </c>
      <c r="C13" s="55" t="inlineStr"/>
    </row>
    <row r="14">
      <c r="B14" s="56" t="inlineStr">
        <is>
          <t>Source 1</t>
        </is>
      </c>
      <c r="C14" s="9" t="inlineStr">
        <is>
          <t>한국금거래소 via CBC News — cbci.co.kr (Apr 11, 2026)</t>
        </is>
      </c>
    </row>
    <row r="15">
      <c r="B15" s="56" t="inlineStr">
        <is>
          <t>Source 2</t>
        </is>
      </c>
      <c r="C15" s="9" t="inlineStr">
        <is>
          <t>금시세닷컴 via CBC News — cbci.co.kr (Apr 11, 2026)</t>
        </is>
      </c>
    </row>
    <row r="16">
      <c r="B16" s="56" t="inlineStr">
        <is>
          <t>Benchmark</t>
        </is>
      </c>
      <c r="C16" s="9" t="inlineStr">
        <is>
          <t>DailyLifeData.com — KRX-aligned 24K reference (Apr 11, 2026)</t>
        </is>
      </c>
    </row>
    <row r="17">
      <c r="B17" s="56" t="inlineStr">
        <is>
          <t>살 때 Price</t>
        </is>
      </c>
      <c r="C17" s="9" t="inlineStr">
        <is>
          <t>₩994,000 (한국금거래소) / ₩988,000 (금시세닷컴) per don</t>
        </is>
      </c>
    </row>
    <row r="18">
      <c r="B18" s="56" t="inlineStr">
        <is>
          <t>VAT Treatment</t>
        </is>
      </c>
      <c r="C18" s="9" t="inlineStr">
        <is>
          <t>10% VAT included in Korean retail prices (non-KRX purchases)</t>
        </is>
      </c>
    </row>
    <row r="19">
      <c r="B19" s="56" t="inlineStr">
        <is>
          <t>KRX Route</t>
        </is>
      </c>
      <c r="C19" s="9" t="inlineStr">
        <is>
          <t>0% VAT — available for investment gold via Korea Exchange</t>
        </is>
      </c>
    </row>
    <row r="21">
      <c r="B21" s="55" t="inlineStr">
        <is>
          <t>KOREAN GOLD UNITS</t>
        </is>
      </c>
      <c r="C21" s="55" t="inlineStr"/>
    </row>
    <row r="22">
      <c r="B22" s="56" t="inlineStr">
        <is>
          <t>1 Don (돈)</t>
        </is>
      </c>
      <c r="C22" s="9">
        <f> 3.75 grams</f>
        <v/>
      </c>
    </row>
    <row r="23">
      <c r="B23" s="56" t="inlineStr">
        <is>
          <t>1 Nyang (냥)</t>
        </is>
      </c>
      <c r="C23" s="9">
        <f> 37.5 grams = 10 don</f>
        <v/>
      </c>
    </row>
    <row r="24">
      <c r="B24" s="56" t="inlineStr">
        <is>
          <t>1 Troy Ounce</t>
        </is>
      </c>
      <c r="C24" s="9">
        <f> 31.1035 grams = 8.294 don</f>
        <v/>
      </c>
    </row>
    <row r="26">
      <c r="B26" s="55" t="inlineStr">
        <is>
          <t>AURUM KOREA PREMIUMS</t>
        </is>
      </c>
      <c r="C26" s="55" t="inlineStr"/>
    </row>
    <row r="27">
      <c r="B27" s="56" t="inlineStr">
        <is>
          <t>Wire Transfer</t>
        </is>
      </c>
      <c r="C27" s="9" t="inlineStr">
        <is>
          <t>2.5% over international spot</t>
        </is>
      </c>
    </row>
    <row r="28">
      <c r="B28" s="56" t="inlineStr">
        <is>
          <t>Credit Card</t>
        </is>
      </c>
      <c r="C28" s="9" t="inlineStr">
        <is>
          <t>5.5% over international spot</t>
        </is>
      </c>
    </row>
    <row r="29">
      <c r="B29" s="56" t="inlineStr">
        <is>
          <t>Crypto</t>
        </is>
      </c>
      <c r="C29" s="9" t="inlineStr">
        <is>
          <t>2.0% over international spot</t>
        </is>
      </c>
    </row>
    <row r="30">
      <c r="B30" s="56" t="inlineStr">
        <is>
          <t>Requested Test</t>
        </is>
      </c>
      <c r="C30" s="9" t="inlineStr">
        <is>
          <t>5.0% over international spot</t>
        </is>
      </c>
    </row>
    <row r="32">
      <c r="B32" s="55" t="inlineStr">
        <is>
          <t>KEY ASSUMPTIONS</t>
        </is>
      </c>
      <c r="C32" s="55" t="inlineStr"/>
    </row>
    <row r="33">
      <c r="B33" s="56" t="inlineStr">
        <is>
          <t>Korean retail includes</t>
        </is>
      </c>
      <c r="C33" s="9" t="inlineStr">
        <is>
          <t>VAT (10%), dealer spread, making charges (공임)</t>
        </is>
      </c>
    </row>
    <row r="34">
      <c r="B34" s="56" t="inlineStr">
        <is>
          <t>Aurum price is</t>
        </is>
      </c>
      <c r="C34" s="9" t="inlineStr">
        <is>
          <t>International spot + premium only (no VAT, no 공임)</t>
        </is>
      </c>
    </row>
    <row r="35">
      <c r="B35" s="56" t="inlineStr">
        <is>
          <t>FX conversion</t>
        </is>
      </c>
      <c r="C35" s="9" t="inlineStr">
        <is>
          <t>Real-time USD/KRW at 1,482.80</t>
        </is>
      </c>
    </row>
    <row r="36">
      <c r="B36" s="56" t="inlineStr">
        <is>
          <t>Comparison basis</t>
        </is>
      </c>
      <c r="C36" s="9" t="inlineStr">
        <is>
          <t>USD per gram, apples-to-apples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2026-04-11T23:26:36Z</dcterms:created>
  <dcterms:modified xmlns:dcterms="http://purl.org/dc/terms/" xmlns:xsi="http://www.w3.org/2001/XMLSchema-instance" xsi:type="dcterms:W3CDTF">2026-04-11T23:26:36Z</dcterms:modified>
</cp:coreProperties>
</file>